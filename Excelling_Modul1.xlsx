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ebastian Romero\iCloudDrive\Desktop\projects\Excelling at Excel\"/>
    </mc:Choice>
  </mc:AlternateContent>
  <xr:revisionPtr revIDLastSave="0" documentId="13_ncr:1_{AA9415B8-581C-4B01-AB00-999AB3A50B81}" xr6:coauthVersionLast="47" xr6:coauthVersionMax="47" xr10:uidLastSave="{00000000-0000-0000-0000-000000000000}"/>
  <bookViews>
    <workbookView xWindow="-108" yWindow="-108" windowWidth="23256" windowHeight="12456" tabRatio="500" firstSheet="2" activeTab="5" xr2:uid="{00000000-000D-0000-FFFF-FFFF00000000}"/>
  </bookViews>
  <sheets>
    <sheet name="Start her" sheetId="1" r:id="rId1"/>
    <sheet name="Hurtigtaster" sheetId="2" r:id="rId2"/>
    <sheet name="Ø1 Navigasjon" sheetId="3" r:id="rId3"/>
    <sheet name="Ø2 Fyll &amp; serier" sheetId="4" r:id="rId4"/>
    <sheet name="Ø3 Referanser" sheetId="5" r:id="rId5"/>
    <sheet name="Ø4 Tabeller" sheetId="6" r:id="rId6"/>
    <sheet name="Fasit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6" l="1"/>
  <c r="C13" i="5"/>
  <c r="D13" i="5"/>
  <c r="E13" i="5"/>
  <c r="E12" i="5"/>
  <c r="E11" i="5"/>
  <c r="E10" i="5"/>
  <c r="E9" i="5"/>
  <c r="E8" i="5"/>
  <c r="D12" i="5"/>
  <c r="D11" i="5"/>
  <c r="D10" i="5"/>
  <c r="D9" i="5"/>
  <c r="D8" i="5"/>
</calcChain>
</file>

<file path=xl/sharedStrings.xml><?xml version="1.0" encoding="utf-8"?>
<sst xmlns="http://schemas.openxmlformats.org/spreadsheetml/2006/main" count="206" uniqueCount="176">
  <si>
    <t>Excelling at Excel</t>
  </si>
  <si>
    <t>Modul 1: Fart og grunnmekanikk</t>
  </si>
  <si>
    <t>Forprosjekt til minor i Accounting &amp; Finance</t>
  </si>
  <si>
    <t>Målet med denne modulen</t>
  </si>
  <si>
    <t>•</t>
  </si>
  <si>
    <t>Bevege deg rundt i regnearket UTEN mus (dette alene dobler farten din)</t>
  </si>
  <si>
    <t>Merke, fylle og kopiere data lynraskt</t>
  </si>
  <si>
    <t>Forstå forskjellen på relative og absolutte referanser (F4) - selve ryggraden i finansmodeller</t>
  </si>
  <si>
    <t>Lage skikkelige tabeller med Ctrl+T</t>
  </si>
  <si>
    <t>Kunne de 20 viktigste hurtigtastene i søvne</t>
  </si>
  <si>
    <t>Slik bruker du boka</t>
  </si>
  <si>
    <t>→</t>
  </si>
  <si>
    <t>Fanene nederst tar deg gjennom øvelsene i rekkefølge: Ø1 → Ø4.</t>
  </si>
  <si>
    <t>Gule celler = din tur. Det er her du skriver eller bygger noe selv.</t>
  </si>
  <si>
    <t>Prøv ALLTID å bruke tastaturet framfor musa. Det er hele poenget.</t>
  </si>
  <si>
    <t>Sitter du fast? Fanen 'Fasit' har svar og ferdige formler for hver øvelse.</t>
  </si>
  <si>
    <t>Ingen fasit på fart: kjør samme øvelse flere ganger til den sitter.</t>
  </si>
  <si>
    <t>De viktigste hurtigtastene (Windows)</t>
  </si>
  <si>
    <t>Lær 3-4 om dagen. Klistremerke på skjermen funker overraskende bra.</t>
  </si>
  <si>
    <t>Kategori</t>
  </si>
  <si>
    <t>Tast</t>
  </si>
  <si>
    <t>Hva den gjør</t>
  </si>
  <si>
    <t>Navigasjon</t>
  </si>
  <si>
    <t>Ctrl + piltast</t>
  </si>
  <si>
    <t>Hopp til kanten av dataområdet i den retningen</t>
  </si>
  <si>
    <t>Ctrl + Home</t>
  </si>
  <si>
    <t>Hopp til A1</t>
  </si>
  <si>
    <t>Ctrl + End</t>
  </si>
  <si>
    <t>Hopp til nederste høyre hjørne med data</t>
  </si>
  <si>
    <t>Ctrl + Page Up/Down</t>
  </si>
  <si>
    <t>Bytt mellom ark (faner)</t>
  </si>
  <si>
    <t>Merking</t>
  </si>
  <si>
    <t>Shift + piltast</t>
  </si>
  <si>
    <t>Utvid merkingen én celle</t>
  </si>
  <si>
    <t>Ctrl + Shift + piltast</t>
  </si>
  <si>
    <t>Merk alt fram til kanten av dataområdet</t>
  </si>
  <si>
    <t>Ctrl + A</t>
  </si>
  <si>
    <t>Merk hele tabellen / hele arket</t>
  </si>
  <si>
    <t>Ctrl + mellomrom</t>
  </si>
  <si>
    <t>Merk hele kolonnen</t>
  </si>
  <si>
    <t>Shift + mellomrom</t>
  </si>
  <si>
    <t>Merk hele raden</t>
  </si>
  <si>
    <t>Redigering</t>
  </si>
  <si>
    <t>F2</t>
  </si>
  <si>
    <t>Rediger aktiv celle (sett markør inni)</t>
  </si>
  <si>
    <t>Ctrl + C / X / V</t>
  </si>
  <si>
    <t>Kopier / klipp ut / lim inn</t>
  </si>
  <si>
    <t>Ctrl + Z / Y</t>
  </si>
  <si>
    <t>Angre / gjør om</t>
  </si>
  <si>
    <t>Ctrl + Shift + V</t>
  </si>
  <si>
    <t>Lim inn utvalg (f.eks. bare verdier)</t>
  </si>
  <si>
    <t>Delete</t>
  </si>
  <si>
    <t>Slett innhold i merkede celler</t>
  </si>
  <si>
    <t>Fyll &amp; kopier</t>
  </si>
  <si>
    <t>Ctrl + D</t>
  </si>
  <si>
    <t>Fyll ned fra cellen over</t>
  </si>
  <si>
    <t>Ctrl + R</t>
  </si>
  <si>
    <t>Fyll fra cellen til venstre</t>
  </si>
  <si>
    <t>Alt + =</t>
  </si>
  <si>
    <t>Sett inn AutoSum (=SUM)</t>
  </si>
  <si>
    <t>Referanser</t>
  </si>
  <si>
    <t>F4</t>
  </si>
  <si>
    <t>Bytt mellom relativ/absolutt referanse ($) mens du redigerer</t>
  </si>
  <si>
    <t>Format</t>
  </si>
  <si>
    <t>Ctrl + 1</t>
  </si>
  <si>
    <t>Åpne Formater celler-dialogen</t>
  </si>
  <si>
    <t>Ctrl + B / I / U</t>
  </si>
  <si>
    <t>Fet / kursiv / understrek</t>
  </si>
  <si>
    <t>Ctrl + Shift + 4</t>
  </si>
  <si>
    <t>Formater som valuta</t>
  </si>
  <si>
    <t>Ctrl + Shift + 5</t>
  </si>
  <si>
    <t>Formater som prosent</t>
  </si>
  <si>
    <t>Diverse</t>
  </si>
  <si>
    <t>Ctrl + T</t>
  </si>
  <si>
    <t>Gjør om område til en ekte tabell</t>
  </si>
  <si>
    <t>Ctrl + S</t>
  </si>
  <si>
    <t>Lagre</t>
  </si>
  <si>
    <t>Ctrl + F / H</t>
  </si>
  <si>
    <t>Finn / Finn og erstatt</t>
  </si>
  <si>
    <t>Øvelse 1: Navigasjon uten mus</t>
  </si>
  <si>
    <t>Bruk tastaturet på dataområdet til høyre (F5:H14). Svar i de gule cellene. Ikke bruk musa!</t>
  </si>
  <si>
    <t>Oppgave</t>
  </si>
  <si>
    <t>Ditt svar</t>
  </si>
  <si>
    <t>Måned</t>
  </si>
  <si>
    <t>Salg</t>
  </si>
  <si>
    <t>Kostnad</t>
  </si>
  <si>
    <t>Stå i F6. Ctrl+Pil ned. Hvilken måned havner du på?</t>
  </si>
  <si>
    <t>Januar</t>
  </si>
  <si>
    <t>Stå i F5. Ctrl+Pil høyre. Hvilken kolonneoverskrift?</t>
  </si>
  <si>
    <t>Februar</t>
  </si>
  <si>
    <t>Ctrl+End fra hvor som helst. Hvilken celleadresse?</t>
  </si>
  <si>
    <t>Mars</t>
  </si>
  <si>
    <t>Merk G6:G14 med Ctrl+Shift+Pil ned. Se summen nederst i statuslinja. Hva er den?</t>
  </si>
  <si>
    <t>April</t>
  </si>
  <si>
    <t>Ctrl+Home. Hvilken celle er aktiv nå?</t>
  </si>
  <si>
    <t>Mai</t>
  </si>
  <si>
    <t>Juni</t>
  </si>
  <si>
    <t>Juli</t>
  </si>
  <si>
    <t>August</t>
  </si>
  <si>
    <t>September</t>
  </si>
  <si>
    <t>Øvelse 2: Fyll, dra og lag serier</t>
  </si>
  <si>
    <t>Fyllhåndtaket er den lille firkanten nederst til høyre på en merket celle. Dra i den for å fylle.</t>
  </si>
  <si>
    <t>1) Tallserie: skriv 1 i C6 og 2 i C7. Merk begge. Dra fyllhåndtaket ned til C15. Du skal få 1..10.</t>
  </si>
  <si>
    <t>2) Måneder: skriv 'Januar' i C18. Dra fyllhåndtaket ned til C23. Excel forstår måneder automatisk.</t>
  </si>
  <si>
    <t>3) Ctrl+D: skriv 25 % i E18. Merk E18:E23 og trykk Ctrl+D for å fylle nedover.</t>
  </si>
  <si>
    <t>Øvelse 3: Relative vs. absolutte referanser</t>
  </si>
  <si>
    <t>Dette er den viktigste øvelsen i modulen. Absolutte referanser ($) er selve fundamentet i finansmodeller.</t>
  </si>
  <si>
    <t>Mva-sats:</t>
  </si>
  <si>
    <t>← denne cellen skal alle formler peke låst til (F4 gir deg $C$5)</t>
  </si>
  <si>
    <t>Produkt</t>
  </si>
  <si>
    <t>Netto (kr)</t>
  </si>
  <si>
    <t>Mva (kr)</t>
  </si>
  <si>
    <t>Brutto (kr)</t>
  </si>
  <si>
    <t>Konsulentpakke</t>
  </si>
  <si>
    <t>Lisens</t>
  </si>
  <si>
    <t>Support</t>
  </si>
  <si>
    <t>Opplæring</t>
  </si>
  <si>
    <t>Vedlikehold</t>
  </si>
  <si>
    <t>SUM</t>
  </si>
  <si>
    <t>Oppgave:</t>
  </si>
  <si>
    <t>I D8 skriv:  =C8*$C$5   og trykk Enter. (Bruk F4 mens markøren står på C5 for å få $-tegnene.)</t>
  </si>
  <si>
    <t>Merk D8, kopier med Ctrl+C, merk D9:D12 og lim inn med Ctrl+V. Legg merke til at C8 blir C9, C10... men $C$5 står stille.</t>
  </si>
  <si>
    <t>I E8 skriv:  =C8+D8   og fyll ned på samme måte.</t>
  </si>
  <si>
    <t>Stå i C13 og trykk Alt+= for AutoSum. Gjenta for D13 og E13.</t>
  </si>
  <si>
    <t>Øvelse 4: Ekte tabeller med Ctrl+T</t>
  </si>
  <si>
    <t>En 'ekte' tabell gir deg filtrering, sortering, totalrad og pene formler nesten gratis.</t>
  </si>
  <si>
    <t>Dato</t>
  </si>
  <si>
    <t>Beløp</t>
  </si>
  <si>
    <t>2026-01-05</t>
  </si>
  <si>
    <t>Kontorrekvisita</t>
  </si>
  <si>
    <t>1. Klikk hvor som helst i dataområdet B5:D13. Trykk Ctrl+T. Huk av for 'Tabellen har overskrifter'. Enter.</t>
  </si>
  <si>
    <t>2026-01-11</t>
  </si>
  <si>
    <t>Reise</t>
  </si>
  <si>
    <t>2. Med markøren i tabellen: gå til Tabelldesign-fanen og huk av 'Totalrad'. Sett den til Sum for Beløp.</t>
  </si>
  <si>
    <t>2026-01-18</t>
  </si>
  <si>
    <t>Programvare</t>
  </si>
  <si>
    <t>3. Klikk pil-knappen på 'Kategori' og filtrer til kun 'Reise'. Hva blir totalen?</t>
  </si>
  <si>
    <t>2026-02-02</t>
  </si>
  <si>
    <t>4. Fjern filteret. Sorter på Beløp, høyest først.</t>
  </si>
  <si>
    <t>2026-02-09</t>
  </si>
  <si>
    <t>5. Skriv svaret (Reise-totalen) i den gule cellen under.</t>
  </si>
  <si>
    <t>2026-02-21</t>
  </si>
  <si>
    <t>Markedsføring</t>
  </si>
  <si>
    <t>2026-03-03</t>
  </si>
  <si>
    <t>Reise-total:</t>
  </si>
  <si>
    <t>2026-03-14</t>
  </si>
  <si>
    <t>Fasit</t>
  </si>
  <si>
    <t>Prøv først selv. Formlene står som tekst så du ser nøyaktig hva du skal skrive.</t>
  </si>
  <si>
    <t>Øvelse 1: Navigasjon</t>
  </si>
  <si>
    <t>Ctrl+Pil ned fra F6</t>
  </si>
  <si>
    <t>Ctrl+Pil høyre fra F5</t>
  </si>
  <si>
    <t>Ctrl+End</t>
  </si>
  <si>
    <t>H14</t>
  </si>
  <si>
    <t>Sum G6:G14</t>
  </si>
  <si>
    <t>1 323 000</t>
  </si>
  <si>
    <t>Ctrl+Home</t>
  </si>
  <si>
    <t>A1</t>
  </si>
  <si>
    <t>Øvelse 3: Referanser (skriv nøyaktig dette)</t>
  </si>
  <si>
    <t>Celle</t>
  </si>
  <si>
    <t>Formel</t>
  </si>
  <si>
    <t>Forklaring</t>
  </si>
  <si>
    <t>D8</t>
  </si>
  <si>
    <t>=C8*$C$5</t>
  </si>
  <si>
    <t>Netto ganger mva-satsen. $C$5 er låst så den ikke flytter seg når du drar ned.</t>
  </si>
  <si>
    <t>E8</t>
  </si>
  <si>
    <t>=C8+D8</t>
  </si>
  <si>
    <t>Netto pluss mva = brutto. Begge referanser er relative.</t>
  </si>
  <si>
    <t>C13</t>
  </si>
  <si>
    <t>=SUM(C8:C12)</t>
  </si>
  <si>
    <t>AutoSum (Alt+=) summerer kolonnen over.</t>
  </si>
  <si>
    <t>Øvelse 4: Tabeller</t>
  </si>
  <si>
    <t>Reise-total</t>
  </si>
  <si>
    <t>13 200</t>
  </si>
  <si>
    <t>Total alle kategorier</t>
  </si>
  <si>
    <t>28 570</t>
  </si>
  <si>
    <t>Totalt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</si>
</sst>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000000"/>
      <name val="Arial"/>
      <charset val="1"/>
    </font>
    <font>
      <sz val="10"/>
      <color rgb="FF808080"/>
      <name val="Arial"/>
      <charset val="1"/>
    </font>
    <font>
      <b/>
      <sz val="11"/>
      <color rgb="FF1F4E78"/>
      <name val="Arial"/>
      <charset val="1"/>
    </font>
    <font>
      <b/>
      <sz val="10"/>
      <color rgb="FF1F4E78"/>
      <name val="Arial"/>
      <charset val="1"/>
    </font>
    <font>
      <sz val="10"/>
      <color rgb="FF000000"/>
      <name val="Arial"/>
      <charset val="1"/>
    </font>
    <font>
      <b/>
      <sz val="10"/>
      <color rgb="FF70AD47"/>
      <name val="Arial"/>
      <charset val="1"/>
    </font>
    <font>
      <b/>
      <sz val="14"/>
      <color rgb="FF1F4E78"/>
      <name val="Arial"/>
      <charset val="1"/>
    </font>
    <font>
      <b/>
      <sz val="10"/>
      <color rgb="FFFFFFFF"/>
      <name val="Arial"/>
      <charset val="1"/>
    </font>
    <font>
      <b/>
      <sz val="10"/>
      <name val="Consolas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9"/>
      <color rgb="FF808080"/>
      <name val="Arial"/>
      <charset val="1"/>
    </font>
    <font>
      <sz val="10"/>
      <color rgb="FFC00000"/>
      <name val="Consolas"/>
      <charset val="1"/>
    </font>
    <font>
      <sz val="9"/>
      <color rgb="FF000000"/>
      <name val="Arial"/>
      <charset val="1"/>
    </font>
    <font>
      <sz val="10"/>
      <color rgb="FF000000"/>
      <name val="Arial"/>
      <family val="2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E2EFDA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6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left" vertical="center"/>
    </xf>
    <xf numFmtId="0" fontId="5" fillId="3" borderId="1" xfId="0" applyFont="1" applyFill="1" applyBorder="1"/>
    <xf numFmtId="0" fontId="10" fillId="3" borderId="1" xfId="0" applyFont="1" applyFill="1" applyBorder="1"/>
    <xf numFmtId="0" fontId="6" fillId="3" borderId="1" xfId="0" applyFont="1" applyFill="1" applyBorder="1"/>
    <xf numFmtId="0" fontId="0" fillId="0" borderId="1" xfId="0" applyBorder="1"/>
    <xf numFmtId="0" fontId="10" fillId="0" borderId="1" xfId="0" applyFont="1" applyBorder="1"/>
    <xf numFmtId="0" fontId="6" fillId="0" borderId="1" xfId="0" applyFont="1" applyBorder="1"/>
    <xf numFmtId="0" fontId="0" fillId="3" borderId="1" xfId="0" applyFill="1" applyBorder="1"/>
    <xf numFmtId="0" fontId="5" fillId="0" borderId="1" xfId="0" applyFont="1" applyBorder="1"/>
    <xf numFmtId="3" fontId="6" fillId="0" borderId="1" xfId="0" applyNumberFormat="1" applyFont="1" applyBorder="1"/>
    <xf numFmtId="0" fontId="0" fillId="5" borderId="1" xfId="0" applyFill="1" applyBorder="1"/>
    <xf numFmtId="9" fontId="0" fillId="5" borderId="1" xfId="0" applyNumberFormat="1" applyFill="1" applyBorder="1"/>
    <xf numFmtId="0" fontId="11" fillId="0" borderId="0" xfId="0" applyFont="1"/>
    <xf numFmtId="9" fontId="12" fillId="4" borderId="1" xfId="0" applyNumberFormat="1" applyFont="1" applyFill="1" applyBorder="1"/>
    <xf numFmtId="3" fontId="12" fillId="0" borderId="1" xfId="0" applyNumberFormat="1" applyFont="1" applyBorder="1"/>
    <xf numFmtId="3" fontId="6" fillId="4" borderId="1" xfId="0" applyNumberFormat="1" applyFont="1" applyFill="1" applyBorder="1"/>
    <xf numFmtId="0" fontId="11" fillId="0" borderId="1" xfId="0" applyFont="1" applyBorder="1"/>
    <xf numFmtId="3" fontId="11" fillId="4" borderId="1" xfId="0" applyNumberFormat="1" applyFont="1" applyFill="1" applyBorder="1"/>
    <xf numFmtId="0" fontId="11" fillId="0" borderId="0" xfId="0" applyFont="1" applyAlignment="1">
      <alignment vertical="top" wrapText="1"/>
    </xf>
    <xf numFmtId="0" fontId="6" fillId="0" borderId="0" xfId="0" applyFont="1"/>
    <xf numFmtId="0" fontId="11" fillId="6" borderId="0" xfId="0" applyFont="1" applyFill="1"/>
    <xf numFmtId="0" fontId="14" fillId="0" borderId="0" xfId="0" applyFont="1"/>
    <xf numFmtId="0" fontId="1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6" fillId="4" borderId="1" xfId="0" applyFont="1" applyFill="1" applyBorder="1"/>
    <xf numFmtId="4" fontId="16" fillId="4" borderId="1" xfId="0" applyNumberFormat="1" applyFont="1" applyFill="1" applyBorder="1"/>
    <xf numFmtId="0" fontId="6" fillId="0" borderId="2" xfId="0" applyFont="1" applyBorder="1"/>
    <xf numFmtId="3" fontId="6" fillId="0" borderId="3" xfId="0" applyNumberFormat="1" applyFont="1" applyBorder="1"/>
    <xf numFmtId="0" fontId="11" fillId="6" borderId="4" xfId="0" applyFont="1" applyFill="1" applyBorder="1"/>
    <xf numFmtId="0" fontId="11" fillId="6" borderId="5" xfId="0" applyFont="1" applyFill="1" applyBorder="1"/>
    <xf numFmtId="0" fontId="11" fillId="6" borderId="6" xfId="0" applyFont="1" applyFill="1" applyBorder="1"/>
    <xf numFmtId="0" fontId="6" fillId="0" borderId="7" xfId="0" applyFont="1" applyBorder="1"/>
    <xf numFmtId="0" fontId="6" fillId="0" borderId="8" xfId="0" applyFont="1" applyBorder="1"/>
    <xf numFmtId="3" fontId="6" fillId="0" borderId="9" xfId="0" applyNumberFormat="1" applyFont="1" applyBorder="1"/>
    <xf numFmtId="0" fontId="16" fillId="0" borderId="7" xfId="0" applyFont="1" applyBorder="1"/>
    <xf numFmtId="0" fontId="16" fillId="0" borderId="8" xfId="0" applyFont="1" applyBorder="1"/>
    <xf numFmtId="3" fontId="16" fillId="0" borderId="9" xfId="0" applyNumberFormat="1" applyFont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/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D9E1F2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3" formatCode="#,##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A2E2ED-8467-48BC-9BAA-E3E17EB661FB}" name="Tabell1" displayName="Tabell1" ref="B5:D14" totalsRowCount="1" headerRowDxfId="3" headerRowBorderDxfId="8" tableBorderDxfId="9" totalsRowBorderDxfId="7">
  <autoFilter ref="B5:D13" xr:uid="{31A2E2ED-8467-48BC-9BAA-E3E17EB661FB}"/>
  <sortState xmlns:xlrd2="http://schemas.microsoft.com/office/spreadsheetml/2017/richdata2" ref="B6:D13">
    <sortCondition descending="1" ref="D5:D13"/>
  </sortState>
  <tableColumns count="3">
    <tableColumn id="1" xr3:uid="{15803048-835C-4969-A444-64E2957D0490}" name="Dato" totalsRowLabel="Totalt" dataDxfId="6" totalsRowDxfId="0"/>
    <tableColumn id="2" xr3:uid="{6BFAA778-0E32-4FB8-93EB-DC8CD2F706BD}" name="Kategori" dataDxfId="5" totalsRowDxfId="1"/>
    <tableColumn id="3" xr3:uid="{CDB3393A-A17F-4EAB-8435-8C035D2DE216}" name="Beløp" totalsRowFunction="sum" dataDxfId="4" totalsRow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8"/>
  <sheetViews>
    <sheetView showGridLines="0" topLeftCell="A2" zoomScaleNormal="100" workbookViewId="0">
      <selection activeCell="C15" sqref="C15:F15"/>
    </sheetView>
  </sheetViews>
  <sheetFormatPr baseColWidth="10" defaultColWidth="8.6640625" defaultRowHeight="14.4" x14ac:dyDescent="0.3"/>
  <cols>
    <col min="1" max="1" width="3" customWidth="1"/>
    <col min="2" max="6" width="16" customWidth="1"/>
  </cols>
  <sheetData>
    <row r="2" spans="2:6" ht="22.8" x14ac:dyDescent="0.4">
      <c r="B2" s="2" t="s">
        <v>0</v>
      </c>
    </row>
    <row r="3" spans="2:6" ht="16.8" x14ac:dyDescent="0.3">
      <c r="B3" s="3" t="s">
        <v>1</v>
      </c>
    </row>
    <row r="4" spans="2:6" x14ac:dyDescent="0.3">
      <c r="B4" s="4" t="s">
        <v>2</v>
      </c>
    </row>
    <row r="6" spans="2:6" ht="41.4" x14ac:dyDescent="0.3">
      <c r="B6" s="5" t="s">
        <v>3</v>
      </c>
    </row>
    <row r="7" spans="2:6" ht="15" customHeight="1" x14ac:dyDescent="0.3">
      <c r="B7" s="6" t="s">
        <v>4</v>
      </c>
      <c r="C7" s="32" t="s">
        <v>5</v>
      </c>
      <c r="D7" s="32"/>
      <c r="E7" s="32"/>
      <c r="F7" s="32"/>
    </row>
    <row r="8" spans="2:6" ht="15" customHeight="1" x14ac:dyDescent="0.3">
      <c r="B8" s="6" t="s">
        <v>4</v>
      </c>
      <c r="C8" s="32" t="s">
        <v>6</v>
      </c>
      <c r="D8" s="32"/>
      <c r="E8" s="32"/>
      <c r="F8" s="32"/>
    </row>
    <row r="9" spans="2:6" ht="23.85" customHeight="1" x14ac:dyDescent="0.3">
      <c r="B9" s="6" t="s">
        <v>4</v>
      </c>
      <c r="C9" s="32" t="s">
        <v>7</v>
      </c>
      <c r="D9" s="32"/>
      <c r="E9" s="32"/>
      <c r="F9" s="32"/>
    </row>
    <row r="10" spans="2:6" ht="15" customHeight="1" x14ac:dyDescent="0.3">
      <c r="B10" s="6" t="s">
        <v>4</v>
      </c>
      <c r="C10" s="32" t="s">
        <v>8</v>
      </c>
      <c r="D10" s="32"/>
      <c r="E10" s="32"/>
      <c r="F10" s="32"/>
    </row>
    <row r="11" spans="2:6" ht="15" customHeight="1" x14ac:dyDescent="0.3">
      <c r="B11" s="6" t="s">
        <v>4</v>
      </c>
      <c r="C11" s="32" t="s">
        <v>9</v>
      </c>
      <c r="D11" s="32"/>
      <c r="E11" s="32"/>
      <c r="F11" s="32"/>
    </row>
    <row r="13" spans="2:6" ht="27.6" x14ac:dyDescent="0.3">
      <c r="B13" s="5" t="s">
        <v>10</v>
      </c>
    </row>
    <row r="14" spans="2:6" ht="15" customHeight="1" x14ac:dyDescent="0.3">
      <c r="B14" s="7" t="s">
        <v>11</v>
      </c>
      <c r="C14" s="32" t="s">
        <v>12</v>
      </c>
      <c r="D14" s="32"/>
      <c r="E14" s="32"/>
      <c r="F14" s="32"/>
    </row>
    <row r="15" spans="2:6" ht="15" customHeight="1" x14ac:dyDescent="0.3">
      <c r="B15" s="7" t="s">
        <v>11</v>
      </c>
      <c r="C15" s="32" t="s">
        <v>13</v>
      </c>
      <c r="D15" s="32"/>
      <c r="E15" s="32"/>
      <c r="F15" s="32"/>
    </row>
    <row r="16" spans="2:6" ht="15" customHeight="1" x14ac:dyDescent="0.3">
      <c r="B16" s="7" t="s">
        <v>11</v>
      </c>
      <c r="C16" s="32" t="s">
        <v>14</v>
      </c>
      <c r="D16" s="32"/>
      <c r="E16" s="32"/>
      <c r="F16" s="32"/>
    </row>
    <row r="17" spans="2:6" ht="15" customHeight="1" x14ac:dyDescent="0.3">
      <c r="B17" s="7" t="s">
        <v>11</v>
      </c>
      <c r="C17" s="32" t="s">
        <v>15</v>
      </c>
      <c r="D17" s="32"/>
      <c r="E17" s="32"/>
      <c r="F17" s="32"/>
    </row>
    <row r="18" spans="2:6" ht="15" customHeight="1" x14ac:dyDescent="0.3">
      <c r="B18" s="7" t="s">
        <v>11</v>
      </c>
      <c r="C18" s="32" t="s">
        <v>16</v>
      </c>
      <c r="D18" s="32"/>
      <c r="E18" s="32"/>
      <c r="F18" s="32"/>
    </row>
  </sheetData>
  <mergeCells count="10">
    <mergeCell ref="C7:F7"/>
    <mergeCell ref="C8:F8"/>
    <mergeCell ref="C9:F9"/>
    <mergeCell ref="C10:F10"/>
    <mergeCell ref="C11:F11"/>
    <mergeCell ref="C14:F14"/>
    <mergeCell ref="C15:F15"/>
    <mergeCell ref="C16:F16"/>
    <mergeCell ref="C17:F17"/>
    <mergeCell ref="C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0"/>
  <sheetViews>
    <sheetView showGridLines="0" topLeftCell="A7" zoomScaleNormal="100" workbookViewId="0">
      <selection activeCell="D31" sqref="D31"/>
    </sheetView>
  </sheetViews>
  <sheetFormatPr baseColWidth="10" defaultColWidth="8.6640625" defaultRowHeight="14.4" x14ac:dyDescent="0.3"/>
  <cols>
    <col min="1" max="1" width="3" customWidth="1"/>
    <col min="2" max="2" width="16" customWidth="1"/>
    <col min="3" max="3" width="26" customWidth="1"/>
    <col min="4" max="4" width="55" customWidth="1"/>
    <col min="5" max="5" width="0" hidden="1" customWidth="1"/>
  </cols>
  <sheetData>
    <row r="2" spans="2:4" ht="17.399999999999999" x14ac:dyDescent="0.3">
      <c r="B2" s="8" t="s">
        <v>17</v>
      </c>
    </row>
    <row r="3" spans="2:4" x14ac:dyDescent="0.3">
      <c r="B3" s="4" t="s">
        <v>18</v>
      </c>
    </row>
    <row r="5" spans="2:4" x14ac:dyDescent="0.3">
      <c r="B5" s="9" t="s">
        <v>19</v>
      </c>
      <c r="C5" s="9" t="s">
        <v>20</v>
      </c>
      <c r="D5" s="9" t="s">
        <v>21</v>
      </c>
    </row>
    <row r="6" spans="2:4" x14ac:dyDescent="0.3">
      <c r="B6" s="10" t="s">
        <v>22</v>
      </c>
      <c r="C6" s="11" t="s">
        <v>23</v>
      </c>
      <c r="D6" s="12" t="s">
        <v>24</v>
      </c>
    </row>
    <row r="7" spans="2:4" x14ac:dyDescent="0.3">
      <c r="B7" s="13"/>
      <c r="C7" s="14" t="s">
        <v>25</v>
      </c>
      <c r="D7" s="15" t="s">
        <v>26</v>
      </c>
    </row>
    <row r="8" spans="2:4" x14ac:dyDescent="0.3">
      <c r="B8" s="16"/>
      <c r="C8" s="11" t="s">
        <v>27</v>
      </c>
      <c r="D8" s="12" t="s">
        <v>28</v>
      </c>
    </row>
    <row r="9" spans="2:4" x14ac:dyDescent="0.3">
      <c r="B9" s="13"/>
      <c r="C9" s="14" t="s">
        <v>29</v>
      </c>
      <c r="D9" s="15" t="s">
        <v>30</v>
      </c>
    </row>
    <row r="10" spans="2:4" x14ac:dyDescent="0.3">
      <c r="B10" s="10" t="s">
        <v>31</v>
      </c>
      <c r="C10" s="11" t="s">
        <v>32</v>
      </c>
      <c r="D10" s="12" t="s">
        <v>33</v>
      </c>
    </row>
    <row r="11" spans="2:4" x14ac:dyDescent="0.3">
      <c r="B11" s="13"/>
      <c r="C11" s="14" t="s">
        <v>34</v>
      </c>
      <c r="D11" s="15" t="s">
        <v>35</v>
      </c>
    </row>
    <row r="12" spans="2:4" x14ac:dyDescent="0.3">
      <c r="B12" s="16"/>
      <c r="C12" s="11" t="s">
        <v>36</v>
      </c>
      <c r="D12" s="12" t="s">
        <v>37</v>
      </c>
    </row>
    <row r="13" spans="2:4" x14ac:dyDescent="0.3">
      <c r="B13" s="13"/>
      <c r="C13" s="14" t="s">
        <v>38</v>
      </c>
      <c r="D13" s="15" t="s">
        <v>39</v>
      </c>
    </row>
    <row r="14" spans="2:4" x14ac:dyDescent="0.3">
      <c r="B14" s="16"/>
      <c r="C14" s="11" t="s">
        <v>40</v>
      </c>
      <c r="D14" s="12" t="s">
        <v>41</v>
      </c>
    </row>
    <row r="15" spans="2:4" x14ac:dyDescent="0.3">
      <c r="B15" s="17" t="s">
        <v>42</v>
      </c>
      <c r="C15" s="14" t="s">
        <v>43</v>
      </c>
      <c r="D15" s="15" t="s">
        <v>44</v>
      </c>
    </row>
    <row r="16" spans="2:4" x14ac:dyDescent="0.3">
      <c r="B16" s="16"/>
      <c r="C16" s="11" t="s">
        <v>45</v>
      </c>
      <c r="D16" s="12" t="s">
        <v>46</v>
      </c>
    </row>
    <row r="17" spans="2:4" x14ac:dyDescent="0.3">
      <c r="B17" s="13"/>
      <c r="C17" s="14" t="s">
        <v>47</v>
      </c>
      <c r="D17" s="15" t="s">
        <v>48</v>
      </c>
    </row>
    <row r="18" spans="2:4" x14ac:dyDescent="0.3">
      <c r="B18" s="16"/>
      <c r="C18" s="11" t="s">
        <v>49</v>
      </c>
      <c r="D18" s="12" t="s">
        <v>50</v>
      </c>
    </row>
    <row r="19" spans="2:4" x14ac:dyDescent="0.3">
      <c r="B19" s="13"/>
      <c r="C19" s="14" t="s">
        <v>51</v>
      </c>
      <c r="D19" s="15" t="s">
        <v>52</v>
      </c>
    </row>
    <row r="20" spans="2:4" x14ac:dyDescent="0.3">
      <c r="B20" s="10" t="s">
        <v>53</v>
      </c>
      <c r="C20" s="11" t="s">
        <v>54</v>
      </c>
      <c r="D20" s="12" t="s">
        <v>55</v>
      </c>
    </row>
    <row r="21" spans="2:4" x14ac:dyDescent="0.3">
      <c r="B21" s="13"/>
      <c r="C21" s="14" t="s">
        <v>56</v>
      </c>
      <c r="D21" s="15" t="s">
        <v>57</v>
      </c>
    </row>
    <row r="22" spans="2:4" x14ac:dyDescent="0.3">
      <c r="B22" s="16"/>
      <c r="C22" s="11" t="s">
        <v>58</v>
      </c>
      <c r="D22" s="12" t="s">
        <v>59</v>
      </c>
    </row>
    <row r="23" spans="2:4" x14ac:dyDescent="0.3">
      <c r="B23" s="17" t="s">
        <v>60</v>
      </c>
      <c r="C23" s="14" t="s">
        <v>61</v>
      </c>
      <c r="D23" s="15" t="s">
        <v>62</v>
      </c>
    </row>
    <row r="24" spans="2:4" x14ac:dyDescent="0.3">
      <c r="B24" s="10" t="s">
        <v>63</v>
      </c>
      <c r="C24" s="11" t="s">
        <v>64</v>
      </c>
      <c r="D24" s="12" t="s">
        <v>65</v>
      </c>
    </row>
    <row r="25" spans="2:4" x14ac:dyDescent="0.3">
      <c r="B25" s="13"/>
      <c r="C25" s="14" t="s">
        <v>66</v>
      </c>
      <c r="D25" s="15" t="s">
        <v>67</v>
      </c>
    </row>
    <row r="26" spans="2:4" x14ac:dyDescent="0.3">
      <c r="B26" s="16"/>
      <c r="C26" s="11" t="s">
        <v>68</v>
      </c>
      <c r="D26" s="12" t="s">
        <v>69</v>
      </c>
    </row>
    <row r="27" spans="2:4" x14ac:dyDescent="0.3">
      <c r="B27" s="13"/>
      <c r="C27" s="14" t="s">
        <v>70</v>
      </c>
      <c r="D27" s="15" t="s">
        <v>71</v>
      </c>
    </row>
    <row r="28" spans="2:4" x14ac:dyDescent="0.3">
      <c r="B28" s="10" t="s">
        <v>72</v>
      </c>
      <c r="C28" s="11" t="s">
        <v>73</v>
      </c>
      <c r="D28" s="12" t="s">
        <v>74</v>
      </c>
    </row>
    <row r="29" spans="2:4" x14ac:dyDescent="0.3">
      <c r="B29" s="13"/>
      <c r="C29" s="14" t="s">
        <v>75</v>
      </c>
      <c r="D29" s="15" t="s">
        <v>76</v>
      </c>
    </row>
    <row r="30" spans="2:4" x14ac:dyDescent="0.3">
      <c r="B30" s="16"/>
      <c r="C30" s="11" t="s">
        <v>77</v>
      </c>
      <c r="D30" s="12" t="s">
        <v>78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4"/>
  <sheetViews>
    <sheetView showGridLines="0" zoomScaleNormal="100" workbookViewId="0">
      <selection activeCell="B10" sqref="B10"/>
    </sheetView>
  </sheetViews>
  <sheetFormatPr baseColWidth="10" defaultColWidth="8.6640625" defaultRowHeight="14.4" x14ac:dyDescent="0.3"/>
  <cols>
    <col min="1" max="1" width="3" customWidth="1"/>
    <col min="2" max="2" width="22" customWidth="1"/>
    <col min="3" max="3" width="14" customWidth="1"/>
    <col min="4" max="4" width="4" customWidth="1"/>
    <col min="5" max="5" width="3" customWidth="1"/>
    <col min="6" max="6" width="16" customWidth="1"/>
    <col min="7" max="8" width="14" customWidth="1"/>
  </cols>
  <sheetData>
    <row r="2" spans="2:8" ht="17.399999999999999" x14ac:dyDescent="0.3">
      <c r="B2" s="8" t="s">
        <v>79</v>
      </c>
    </row>
    <row r="3" spans="2:8" ht="15" customHeight="1" x14ac:dyDescent="0.3">
      <c r="B3" s="33" t="s">
        <v>80</v>
      </c>
      <c r="C3" s="33"/>
      <c r="D3" s="33"/>
      <c r="E3" s="33"/>
      <c r="F3" s="33"/>
      <c r="G3" s="33"/>
      <c r="H3" s="33"/>
    </row>
    <row r="5" spans="2:8" x14ac:dyDescent="0.3">
      <c r="B5" s="9" t="s">
        <v>81</v>
      </c>
      <c r="C5" s="9" t="s">
        <v>82</v>
      </c>
      <c r="F5" s="9" t="s">
        <v>83</v>
      </c>
      <c r="G5" s="9" t="s">
        <v>84</v>
      </c>
      <c r="H5" s="9" t="s">
        <v>85</v>
      </c>
    </row>
    <row r="6" spans="2:8" ht="39.6" x14ac:dyDescent="0.3">
      <c r="B6" s="1" t="s">
        <v>86</v>
      </c>
      <c r="C6" s="35" t="s">
        <v>99</v>
      </c>
      <c r="F6" s="15" t="s">
        <v>87</v>
      </c>
      <c r="G6" s="18">
        <v>120000</v>
      </c>
      <c r="H6" s="18">
        <v>80000</v>
      </c>
    </row>
    <row r="7" spans="2:8" ht="26.4" x14ac:dyDescent="0.3">
      <c r="B7" s="1" t="s">
        <v>88</v>
      </c>
      <c r="C7" s="35" t="s">
        <v>85</v>
      </c>
      <c r="F7" s="15" t="s">
        <v>89</v>
      </c>
      <c r="G7" s="18">
        <v>135000</v>
      </c>
      <c r="H7" s="18">
        <v>82000</v>
      </c>
    </row>
    <row r="8" spans="2:8" ht="39.6" x14ac:dyDescent="0.3">
      <c r="B8" s="1" t="s">
        <v>90</v>
      </c>
      <c r="C8" s="35" t="s">
        <v>152</v>
      </c>
      <c r="F8" s="15" t="s">
        <v>91</v>
      </c>
      <c r="G8" s="18">
        <v>128000</v>
      </c>
      <c r="H8" s="18">
        <v>79000</v>
      </c>
    </row>
    <row r="9" spans="2:8" ht="52.8" x14ac:dyDescent="0.3">
      <c r="B9" s="1" t="s">
        <v>92</v>
      </c>
      <c r="C9" s="36">
        <v>1323000</v>
      </c>
      <c r="F9" s="15" t="s">
        <v>93</v>
      </c>
      <c r="G9" s="18">
        <v>156000</v>
      </c>
      <c r="H9" s="18">
        <v>91000</v>
      </c>
    </row>
    <row r="10" spans="2:8" ht="26.4" x14ac:dyDescent="0.3">
      <c r="B10" s="1" t="s">
        <v>94</v>
      </c>
      <c r="C10" s="35" t="s">
        <v>156</v>
      </c>
      <c r="F10" s="15" t="s">
        <v>95</v>
      </c>
      <c r="G10" s="18">
        <v>149000</v>
      </c>
      <c r="H10" s="18">
        <v>88000</v>
      </c>
    </row>
    <row r="11" spans="2:8" x14ac:dyDescent="0.3">
      <c r="F11" s="15" t="s">
        <v>96</v>
      </c>
      <c r="G11" s="18">
        <v>162000</v>
      </c>
      <c r="H11" s="18">
        <v>95000</v>
      </c>
    </row>
    <row r="12" spans="2:8" x14ac:dyDescent="0.3">
      <c r="F12" s="15" t="s">
        <v>97</v>
      </c>
      <c r="G12" s="18">
        <v>171000</v>
      </c>
      <c r="H12" s="18">
        <v>99000</v>
      </c>
    </row>
    <row r="13" spans="2:8" x14ac:dyDescent="0.3">
      <c r="F13" s="15" t="s">
        <v>98</v>
      </c>
      <c r="G13" s="18">
        <v>158000</v>
      </c>
      <c r="H13" s="18">
        <v>93000</v>
      </c>
    </row>
    <row r="14" spans="2:8" x14ac:dyDescent="0.3">
      <c r="F14" s="15" t="s">
        <v>99</v>
      </c>
      <c r="G14" s="18">
        <v>144000</v>
      </c>
      <c r="H14" s="18">
        <v>87000</v>
      </c>
    </row>
  </sheetData>
  <mergeCells count="1"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5"/>
  <sheetViews>
    <sheetView showGridLines="0" topLeftCell="A5" zoomScaleNormal="100" workbookViewId="0">
      <selection activeCell="C11" sqref="C11"/>
    </sheetView>
  </sheetViews>
  <sheetFormatPr baseColWidth="10" defaultColWidth="8.6640625" defaultRowHeight="14.4" x14ac:dyDescent="0.3"/>
  <cols>
    <col min="1" max="1" width="3" customWidth="1"/>
    <col min="2" max="2" width="30" customWidth="1"/>
    <col min="3" max="6" width="14" customWidth="1"/>
  </cols>
  <sheetData>
    <row r="2" spans="2:6" ht="17.399999999999999" x14ac:dyDescent="0.3">
      <c r="B2" s="8" t="s">
        <v>100</v>
      </c>
    </row>
    <row r="3" spans="2:6" ht="15" customHeight="1" x14ac:dyDescent="0.3">
      <c r="B3" s="33" t="s">
        <v>101</v>
      </c>
      <c r="C3" s="33"/>
      <c r="D3" s="33"/>
      <c r="E3" s="33"/>
      <c r="F3" s="33"/>
    </row>
    <row r="5" spans="2:6" ht="15" customHeight="1" x14ac:dyDescent="0.3">
      <c r="B5" s="32" t="s">
        <v>102</v>
      </c>
      <c r="C5" s="32"/>
      <c r="D5" s="32"/>
      <c r="E5" s="32"/>
      <c r="F5" s="32"/>
    </row>
    <row r="6" spans="2:6" x14ac:dyDescent="0.3">
      <c r="C6" s="19">
        <v>1</v>
      </c>
    </row>
    <row r="7" spans="2:6" x14ac:dyDescent="0.3">
      <c r="C7" s="19">
        <v>2</v>
      </c>
    </row>
    <row r="8" spans="2:6" x14ac:dyDescent="0.3">
      <c r="C8" s="19">
        <v>3</v>
      </c>
    </row>
    <row r="9" spans="2:6" x14ac:dyDescent="0.3">
      <c r="C9" s="19">
        <v>4</v>
      </c>
    </row>
    <row r="10" spans="2:6" x14ac:dyDescent="0.3">
      <c r="C10" s="19">
        <v>5</v>
      </c>
    </row>
    <row r="11" spans="2:6" x14ac:dyDescent="0.3">
      <c r="C11" s="19">
        <v>6</v>
      </c>
    </row>
    <row r="12" spans="2:6" x14ac:dyDescent="0.3">
      <c r="C12" s="19">
        <v>7</v>
      </c>
    </row>
    <row r="13" spans="2:6" x14ac:dyDescent="0.3">
      <c r="C13" s="19">
        <v>8</v>
      </c>
    </row>
    <row r="14" spans="2:6" x14ac:dyDescent="0.3">
      <c r="C14" s="19">
        <v>9</v>
      </c>
    </row>
    <row r="15" spans="2:6" x14ac:dyDescent="0.3">
      <c r="C15" s="19">
        <v>10</v>
      </c>
    </row>
    <row r="17" spans="2:6" ht="15" customHeight="1" x14ac:dyDescent="0.3">
      <c r="B17" s="32" t="s">
        <v>103</v>
      </c>
      <c r="C17" s="32"/>
      <c r="D17" s="32"/>
      <c r="E17" s="32"/>
      <c r="F17" s="32"/>
    </row>
    <row r="18" spans="2:6" x14ac:dyDescent="0.3">
      <c r="C18" s="19" t="s">
        <v>87</v>
      </c>
      <c r="E18" s="20">
        <v>0.25</v>
      </c>
    </row>
    <row r="19" spans="2:6" x14ac:dyDescent="0.3">
      <c r="C19" s="19" t="s">
        <v>89</v>
      </c>
      <c r="E19" s="20">
        <v>0.25</v>
      </c>
    </row>
    <row r="20" spans="2:6" x14ac:dyDescent="0.3">
      <c r="C20" s="19" t="s">
        <v>91</v>
      </c>
      <c r="E20" s="20">
        <v>0.25</v>
      </c>
    </row>
    <row r="21" spans="2:6" x14ac:dyDescent="0.3">
      <c r="C21" s="19" t="s">
        <v>93</v>
      </c>
      <c r="E21" s="20">
        <v>0.25</v>
      </c>
    </row>
    <row r="22" spans="2:6" x14ac:dyDescent="0.3">
      <c r="C22" s="19" t="s">
        <v>95</v>
      </c>
      <c r="E22" s="20">
        <v>0.25</v>
      </c>
    </row>
    <row r="23" spans="2:6" x14ac:dyDescent="0.3">
      <c r="C23" s="19" t="s">
        <v>96</v>
      </c>
      <c r="E23" s="20">
        <v>0.25</v>
      </c>
    </row>
    <row r="25" spans="2:6" ht="15" customHeight="1" x14ac:dyDescent="0.3">
      <c r="B25" s="32" t="s">
        <v>104</v>
      </c>
      <c r="C25" s="32"/>
      <c r="D25" s="32"/>
      <c r="E25" s="32"/>
      <c r="F25" s="32"/>
    </row>
  </sheetData>
  <mergeCells count="4">
    <mergeCell ref="B3:F3"/>
    <mergeCell ref="B5:F5"/>
    <mergeCell ref="B17:F17"/>
    <mergeCell ref="B25:F25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9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22" customWidth="1"/>
    <col min="3" max="5" width="16" customWidth="1"/>
  </cols>
  <sheetData>
    <row r="2" spans="2:5" ht="17.399999999999999" x14ac:dyDescent="0.3">
      <c r="B2" s="8" t="s">
        <v>105</v>
      </c>
    </row>
    <row r="3" spans="2:5" ht="23.85" customHeight="1" x14ac:dyDescent="0.3">
      <c r="B3" s="33" t="s">
        <v>106</v>
      </c>
      <c r="C3" s="33"/>
      <c r="D3" s="33"/>
      <c r="E3" s="33"/>
    </row>
    <row r="5" spans="2:5" ht="22.35" customHeight="1" x14ac:dyDescent="0.3">
      <c r="B5" s="21" t="s">
        <v>107</v>
      </c>
      <c r="C5" s="22">
        <v>0.25</v>
      </c>
      <c r="D5" s="34" t="s">
        <v>108</v>
      </c>
      <c r="E5" s="34"/>
    </row>
    <row r="7" spans="2:5" x14ac:dyDescent="0.3">
      <c r="B7" s="9" t="s">
        <v>109</v>
      </c>
      <c r="C7" s="9" t="s">
        <v>110</v>
      </c>
      <c r="D7" s="9" t="s">
        <v>111</v>
      </c>
      <c r="E7" s="9" t="s">
        <v>112</v>
      </c>
    </row>
    <row r="8" spans="2:5" x14ac:dyDescent="0.3">
      <c r="B8" s="15" t="s">
        <v>113</v>
      </c>
      <c r="C8" s="23">
        <v>40000</v>
      </c>
      <c r="D8" s="24">
        <f>C8*C$5</f>
        <v>10000</v>
      </c>
      <c r="E8" s="24">
        <f>C8+D8</f>
        <v>50000</v>
      </c>
    </row>
    <row r="9" spans="2:5" x14ac:dyDescent="0.3">
      <c r="B9" s="15" t="s">
        <v>114</v>
      </c>
      <c r="C9" s="23">
        <v>12500</v>
      </c>
      <c r="D9" s="24">
        <f t="shared" ref="D9:D12" si="0">C9*C$5</f>
        <v>3125</v>
      </c>
      <c r="E9" s="24">
        <f t="shared" ref="E9:E12" si="1">C9+D9</f>
        <v>15625</v>
      </c>
    </row>
    <row r="10" spans="2:5" x14ac:dyDescent="0.3">
      <c r="B10" s="15" t="s">
        <v>115</v>
      </c>
      <c r="C10" s="23">
        <v>8000</v>
      </c>
      <c r="D10" s="24">
        <f t="shared" si="0"/>
        <v>2000</v>
      </c>
      <c r="E10" s="24">
        <f t="shared" si="1"/>
        <v>10000</v>
      </c>
    </row>
    <row r="11" spans="2:5" x14ac:dyDescent="0.3">
      <c r="B11" s="15" t="s">
        <v>116</v>
      </c>
      <c r="C11" s="23">
        <v>15000</v>
      </c>
      <c r="D11" s="24">
        <f t="shared" si="0"/>
        <v>3750</v>
      </c>
      <c r="E11" s="24">
        <f t="shared" si="1"/>
        <v>18750</v>
      </c>
    </row>
    <row r="12" spans="2:5" x14ac:dyDescent="0.3">
      <c r="B12" s="15" t="s">
        <v>117</v>
      </c>
      <c r="C12" s="23">
        <v>6200</v>
      </c>
      <c r="D12" s="24">
        <f t="shared" si="0"/>
        <v>1550</v>
      </c>
      <c r="E12" s="24">
        <f t="shared" si="1"/>
        <v>7750</v>
      </c>
    </row>
    <row r="13" spans="2:5" x14ac:dyDescent="0.3">
      <c r="B13" s="25" t="s">
        <v>118</v>
      </c>
      <c r="C13" s="26">
        <f>SUM(C8:C12)</f>
        <v>81700</v>
      </c>
      <c r="D13" s="26">
        <f>SUM(D8:D12)</f>
        <v>20425</v>
      </c>
      <c r="E13" s="26">
        <f>SUM(E8:E12)</f>
        <v>102125</v>
      </c>
    </row>
    <row r="15" spans="2:5" x14ac:dyDescent="0.3">
      <c r="B15" s="27" t="s">
        <v>119</v>
      </c>
    </row>
    <row r="16" spans="2:5" ht="23.85" customHeight="1" x14ac:dyDescent="0.3">
      <c r="B16" s="6" t="s">
        <v>4</v>
      </c>
      <c r="C16" s="32" t="s">
        <v>120</v>
      </c>
      <c r="D16" s="32"/>
      <c r="E16" s="32"/>
    </row>
    <row r="17" spans="2:5" ht="35.1" customHeight="1" x14ac:dyDescent="0.3">
      <c r="B17" s="6" t="s">
        <v>4</v>
      </c>
      <c r="C17" s="32" t="s">
        <v>121</v>
      </c>
      <c r="D17" s="32"/>
      <c r="E17" s="32"/>
    </row>
    <row r="18" spans="2:5" ht="15" customHeight="1" x14ac:dyDescent="0.3">
      <c r="B18" s="6" t="s">
        <v>4</v>
      </c>
      <c r="C18" s="32" t="s">
        <v>122</v>
      </c>
      <c r="D18" s="32"/>
      <c r="E18" s="32"/>
    </row>
    <row r="19" spans="2:5" ht="23.85" customHeight="1" x14ac:dyDescent="0.3">
      <c r="B19" s="6" t="s">
        <v>4</v>
      </c>
      <c r="C19" s="32" t="s">
        <v>123</v>
      </c>
      <c r="D19" s="32"/>
      <c r="E19" s="32"/>
    </row>
  </sheetData>
  <mergeCells count="6">
    <mergeCell ref="C19:E19"/>
    <mergeCell ref="B3:E3"/>
    <mergeCell ref="D5:E5"/>
    <mergeCell ref="C16:E16"/>
    <mergeCell ref="C17:E17"/>
    <mergeCell ref="C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14"/>
  <sheetViews>
    <sheetView showGridLines="0" tabSelected="1" topLeftCell="A3" zoomScaleNormal="100" workbookViewId="0">
      <selection activeCell="I6" sqref="I6"/>
    </sheetView>
  </sheetViews>
  <sheetFormatPr baseColWidth="10" defaultColWidth="8.6640625" defaultRowHeight="14.4" x14ac:dyDescent="0.3"/>
  <cols>
    <col min="1" max="1" width="3" customWidth="1"/>
    <col min="2" max="2" width="14" customWidth="1"/>
    <col min="3" max="3" width="18" customWidth="1"/>
    <col min="4" max="4" width="14" customWidth="1"/>
    <col min="5" max="5" width="4" customWidth="1"/>
    <col min="6" max="6" width="30" customWidth="1"/>
  </cols>
  <sheetData>
    <row r="2" spans="2:6" ht="17.399999999999999" x14ac:dyDescent="0.3">
      <c r="B2" s="8" t="s">
        <v>124</v>
      </c>
    </row>
    <row r="3" spans="2:6" ht="15" customHeight="1" x14ac:dyDescent="0.3">
      <c r="B3" s="33" t="s">
        <v>125</v>
      </c>
      <c r="C3" s="33"/>
      <c r="D3" s="33"/>
      <c r="E3" s="33"/>
      <c r="F3" s="33"/>
    </row>
    <row r="5" spans="2:6" x14ac:dyDescent="0.3">
      <c r="B5" s="39" t="s">
        <v>126</v>
      </c>
      <c r="C5" s="40" t="s">
        <v>19</v>
      </c>
      <c r="D5" s="41" t="s">
        <v>127</v>
      </c>
      <c r="F5" s="27" t="s">
        <v>119</v>
      </c>
    </row>
    <row r="6" spans="2:6" ht="52.8" x14ac:dyDescent="0.3">
      <c r="B6" s="37" t="s">
        <v>141</v>
      </c>
      <c r="C6" s="15" t="s">
        <v>142</v>
      </c>
      <c r="D6" s="38">
        <v>7500</v>
      </c>
      <c r="F6" s="1" t="s">
        <v>130</v>
      </c>
    </row>
    <row r="7" spans="2:6" ht="52.8" x14ac:dyDescent="0.3">
      <c r="B7" s="37" t="s">
        <v>145</v>
      </c>
      <c r="C7" s="15" t="s">
        <v>132</v>
      </c>
      <c r="D7" s="38">
        <v>5100</v>
      </c>
      <c r="F7" s="1" t="s">
        <v>133</v>
      </c>
    </row>
    <row r="8" spans="2:6" ht="39.6" x14ac:dyDescent="0.3">
      <c r="B8" s="37" t="s">
        <v>131</v>
      </c>
      <c r="C8" s="15" t="s">
        <v>132</v>
      </c>
      <c r="D8" s="38">
        <v>4300</v>
      </c>
      <c r="F8" s="1" t="s">
        <v>136</v>
      </c>
    </row>
    <row r="9" spans="2:6" ht="26.4" x14ac:dyDescent="0.3">
      <c r="B9" s="37" t="s">
        <v>137</v>
      </c>
      <c r="C9" s="15" t="s">
        <v>132</v>
      </c>
      <c r="D9" s="38">
        <v>3800</v>
      </c>
      <c r="F9" s="1" t="s">
        <v>138</v>
      </c>
    </row>
    <row r="10" spans="2:6" ht="26.4" x14ac:dyDescent="0.3">
      <c r="B10" s="37" t="s">
        <v>134</v>
      </c>
      <c r="C10" s="15" t="s">
        <v>135</v>
      </c>
      <c r="D10" s="38">
        <v>2990</v>
      </c>
      <c r="F10" s="1" t="s">
        <v>140</v>
      </c>
    </row>
    <row r="11" spans="2:6" x14ac:dyDescent="0.3">
      <c r="B11" s="37" t="s">
        <v>143</v>
      </c>
      <c r="C11" s="15" t="s">
        <v>135</v>
      </c>
      <c r="D11" s="38">
        <v>2990</v>
      </c>
    </row>
    <row r="12" spans="2:6" x14ac:dyDescent="0.3">
      <c r="B12" s="37" t="s">
        <v>128</v>
      </c>
      <c r="C12" s="15" t="s">
        <v>129</v>
      </c>
      <c r="D12" s="38">
        <v>1250</v>
      </c>
      <c r="F12" s="21" t="s">
        <v>144</v>
      </c>
    </row>
    <row r="13" spans="2:6" x14ac:dyDescent="0.3">
      <c r="B13" s="42" t="s">
        <v>139</v>
      </c>
      <c r="C13" s="43" t="s">
        <v>129</v>
      </c>
      <c r="D13" s="44">
        <v>640</v>
      </c>
      <c r="F13" s="24">
        <v>13200</v>
      </c>
    </row>
    <row r="14" spans="2:6" x14ac:dyDescent="0.3">
      <c r="B14" s="45" t="s">
        <v>175</v>
      </c>
      <c r="C14" s="46"/>
      <c r="D14" s="47">
        <f>SUBTOTAL(109,Tabell1[Beløp])</f>
        <v>28570</v>
      </c>
    </row>
  </sheetData>
  <mergeCells count="1">
    <mergeCell ref="B3:F3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20"/>
  <sheetViews>
    <sheetView showGridLines="0" topLeftCell="A9" zoomScaleNormal="100" workbookViewId="0">
      <selection activeCell="C25" sqref="C25"/>
    </sheetView>
  </sheetViews>
  <sheetFormatPr baseColWidth="10" defaultColWidth="8.6640625" defaultRowHeight="14.4" x14ac:dyDescent="0.3"/>
  <cols>
    <col min="1" max="1" width="3" customWidth="1"/>
    <col min="2" max="2" width="26" customWidth="1"/>
    <col min="3" max="3" width="22" customWidth="1"/>
    <col min="4" max="4" width="40" customWidth="1"/>
  </cols>
  <sheetData>
    <row r="2" spans="2:4" ht="17.399999999999999" x14ac:dyDescent="0.3">
      <c r="B2" s="8" t="s">
        <v>146</v>
      </c>
    </row>
    <row r="3" spans="2:4" ht="15" customHeight="1" x14ac:dyDescent="0.3">
      <c r="B3" s="33" t="s">
        <v>147</v>
      </c>
      <c r="C3" s="33"/>
      <c r="D3" s="33"/>
    </row>
    <row r="5" spans="2:4" x14ac:dyDescent="0.3">
      <c r="B5" s="5" t="s">
        <v>148</v>
      </c>
    </row>
    <row r="6" spans="2:4" x14ac:dyDescent="0.3">
      <c r="B6" s="28" t="s">
        <v>149</v>
      </c>
      <c r="C6" s="21" t="s">
        <v>99</v>
      </c>
    </row>
    <row r="7" spans="2:4" x14ac:dyDescent="0.3">
      <c r="B7" s="28" t="s">
        <v>150</v>
      </c>
      <c r="C7" s="21" t="s">
        <v>85</v>
      </c>
    </row>
    <row r="8" spans="2:4" x14ac:dyDescent="0.3">
      <c r="B8" s="28" t="s">
        <v>151</v>
      </c>
      <c r="C8" s="21" t="s">
        <v>152</v>
      </c>
    </row>
    <row r="9" spans="2:4" x14ac:dyDescent="0.3">
      <c r="B9" s="28" t="s">
        <v>153</v>
      </c>
      <c r="C9" s="21" t="s">
        <v>154</v>
      </c>
    </row>
    <row r="10" spans="2:4" x14ac:dyDescent="0.3">
      <c r="B10" s="28" t="s">
        <v>155</v>
      </c>
      <c r="C10" s="21" t="s">
        <v>156</v>
      </c>
    </row>
    <row r="12" spans="2:4" ht="27.6" x14ac:dyDescent="0.3">
      <c r="B12" s="5" t="s">
        <v>157</v>
      </c>
    </row>
    <row r="13" spans="2:4" x14ac:dyDescent="0.3">
      <c r="B13" s="29" t="s">
        <v>158</v>
      </c>
      <c r="C13" s="29" t="s">
        <v>159</v>
      </c>
      <c r="D13" s="29" t="s">
        <v>160</v>
      </c>
    </row>
    <row r="14" spans="2:4" ht="22.8" x14ac:dyDescent="0.3">
      <c r="B14" s="28" t="s">
        <v>161</v>
      </c>
      <c r="C14" s="30" t="s">
        <v>162</v>
      </c>
      <c r="D14" s="31" t="s">
        <v>163</v>
      </c>
    </row>
    <row r="15" spans="2:4" ht="22.8" x14ac:dyDescent="0.3">
      <c r="B15" s="28" t="s">
        <v>164</v>
      </c>
      <c r="C15" s="30" t="s">
        <v>165</v>
      </c>
      <c r="D15" s="31" t="s">
        <v>166</v>
      </c>
    </row>
    <row r="16" spans="2:4" x14ac:dyDescent="0.3">
      <c r="B16" s="28" t="s">
        <v>167</v>
      </c>
      <c r="C16" s="30" t="s">
        <v>168</v>
      </c>
      <c r="D16" s="31" t="s">
        <v>169</v>
      </c>
    </row>
    <row r="18" spans="2:3" x14ac:dyDescent="0.3">
      <c r="B18" s="5" t="s">
        <v>170</v>
      </c>
    </row>
    <row r="19" spans="2:3" x14ac:dyDescent="0.3">
      <c r="B19" s="28" t="s">
        <v>171</v>
      </c>
      <c r="C19" s="21" t="s">
        <v>172</v>
      </c>
    </row>
    <row r="20" spans="2:3" x14ac:dyDescent="0.3">
      <c r="B20" s="28" t="s">
        <v>173</v>
      </c>
      <c r="C20" s="21" t="s">
        <v>174</v>
      </c>
    </row>
  </sheetData>
  <mergeCells count="1">
    <mergeCell ref="B3:D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Start her</vt:lpstr>
      <vt:lpstr>Hurtigtaster</vt:lpstr>
      <vt:lpstr>Ø1 Navigasjon</vt:lpstr>
      <vt:lpstr>Ø2 Fyll &amp; serier</vt:lpstr>
      <vt:lpstr>Ø3 Referanser</vt:lpstr>
      <vt:lpstr>Ø4 Tabeller</vt:lpstr>
      <vt:lpstr>Fasit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Sebastian Nes Romero</cp:lastModifiedBy>
  <cp:revision>0</cp:revision>
  <dcterms:created xsi:type="dcterms:W3CDTF">2026-07-09T20:38:58Z</dcterms:created>
  <dcterms:modified xsi:type="dcterms:W3CDTF">2026-07-17T14:19:20Z</dcterms:modified>
  <dc:language>en-US</dc:language>
</cp:coreProperties>
</file>